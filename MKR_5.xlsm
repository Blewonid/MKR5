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учеба\МСС\"/>
    </mc:Choice>
  </mc:AlternateContent>
  <bookViews>
    <workbookView xWindow="0" yWindow="0" windowWidth="19200" windowHeight="11595" activeTab="1"/>
  </bookViews>
  <sheets>
    <sheet name="ρ=const" sheetId="1" r:id="rId1"/>
    <sheet name="ρ=var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4" i="2" l="1"/>
  <c r="Q13" i="2"/>
  <c r="P13" i="2"/>
  <c r="O13" i="2"/>
  <c r="O17" i="2" s="1"/>
  <c r="O18" i="2" s="1"/>
  <c r="O19" i="2" s="1"/>
  <c r="O21" i="2" s="1"/>
  <c r="O20" i="2" s="1"/>
  <c r="O22" i="2" s="1"/>
  <c r="O23" i="2" s="1"/>
  <c r="N13" i="2"/>
  <c r="N17" i="2" s="1"/>
  <c r="N18" i="2" s="1"/>
  <c r="M13" i="2"/>
  <c r="L13" i="2"/>
  <c r="K13" i="2"/>
  <c r="K17" i="2" s="1"/>
  <c r="K18" i="2" s="1"/>
  <c r="K19" i="2" s="1"/>
  <c r="K21" i="2" s="1"/>
  <c r="K20" i="2" s="1"/>
  <c r="K22" i="2" s="1"/>
  <c r="K23" i="2" s="1"/>
  <c r="J13" i="2"/>
  <c r="J17" i="2" s="1"/>
  <c r="J18" i="2" s="1"/>
  <c r="I13" i="2"/>
  <c r="H13" i="2"/>
  <c r="H17" i="2" s="1"/>
  <c r="H18" i="2" s="1"/>
  <c r="Q5" i="2"/>
  <c r="G5" i="2"/>
  <c r="H4" i="2"/>
  <c r="H5" i="2" s="1"/>
  <c r="C4" i="2"/>
  <c r="H3" i="2" s="1"/>
  <c r="I3" i="2" s="1"/>
  <c r="J3" i="2" s="1"/>
  <c r="K3" i="2" s="1"/>
  <c r="L3" i="2" s="1"/>
  <c r="M3" i="2" s="1"/>
  <c r="N3" i="2" s="1"/>
  <c r="O3" i="2" s="1"/>
  <c r="P3" i="2" s="1"/>
  <c r="Q3" i="2" s="1"/>
  <c r="H3" i="1"/>
  <c r="I3" i="1" s="1"/>
  <c r="J3" i="1" s="1"/>
  <c r="K3" i="1" s="1"/>
  <c r="L3" i="1" s="1"/>
  <c r="M3" i="1" s="1"/>
  <c r="N3" i="1" s="1"/>
  <c r="O3" i="1" s="1"/>
  <c r="P3" i="1" s="1"/>
  <c r="Q3" i="1" s="1"/>
  <c r="H4" i="1"/>
  <c r="H5" i="1" s="1"/>
  <c r="G13" i="1" s="1"/>
  <c r="G17" i="1" s="1"/>
  <c r="G18" i="1" s="1"/>
  <c r="G5" i="1"/>
  <c r="Q5" i="1"/>
  <c r="Q14" i="1"/>
  <c r="I13" i="1"/>
  <c r="J13" i="1"/>
  <c r="J17" i="1" s="1"/>
  <c r="J18" i="1" s="1"/>
  <c r="K13" i="1"/>
  <c r="L13" i="1"/>
  <c r="M13" i="1"/>
  <c r="N13" i="1"/>
  <c r="N17" i="1" s="1"/>
  <c r="N18" i="1" s="1"/>
  <c r="O13" i="1"/>
  <c r="P13" i="1"/>
  <c r="Q13" i="1"/>
  <c r="H13" i="1"/>
  <c r="C4" i="1"/>
  <c r="P17" i="2" l="1"/>
  <c r="P18" i="2" s="1"/>
  <c r="P19" i="2" s="1"/>
  <c r="P21" i="2" s="1"/>
  <c r="P20" i="2" s="1"/>
  <c r="P22" i="2" s="1"/>
  <c r="P23" i="2" s="1"/>
  <c r="Q10" i="2"/>
  <c r="N19" i="2"/>
  <c r="N21" i="2" s="1"/>
  <c r="N20" i="2" s="1"/>
  <c r="N22" i="2" s="1"/>
  <c r="N23" i="2" s="1"/>
  <c r="J19" i="2"/>
  <c r="J21" i="2" s="1"/>
  <c r="J20" i="2" s="1"/>
  <c r="J22" i="2" s="1"/>
  <c r="J23" i="2" s="1"/>
  <c r="H19" i="2"/>
  <c r="H21" i="2" s="1"/>
  <c r="H20" i="2" s="1"/>
  <c r="H22" i="2" s="1"/>
  <c r="H23" i="2" s="1"/>
  <c r="L17" i="2"/>
  <c r="L18" i="2" s="1"/>
  <c r="L19" i="2" s="1"/>
  <c r="L21" i="2" s="1"/>
  <c r="L20" i="2" s="1"/>
  <c r="L22" i="2" s="1"/>
  <c r="L23" i="2" s="1"/>
  <c r="G13" i="2"/>
  <c r="H10" i="2"/>
  <c r="I4" i="2"/>
  <c r="I17" i="2"/>
  <c r="I18" i="2" s="1"/>
  <c r="I19" i="2" s="1"/>
  <c r="I21" i="2" s="1"/>
  <c r="I20" i="2" s="1"/>
  <c r="I22" i="2" s="1"/>
  <c r="I23" i="2" s="1"/>
  <c r="M17" i="2"/>
  <c r="M18" i="2" s="1"/>
  <c r="M19" i="2" s="1"/>
  <c r="M21" i="2" s="1"/>
  <c r="M20" i="2" s="1"/>
  <c r="M22" i="2" s="1"/>
  <c r="M23" i="2" s="1"/>
  <c r="Q17" i="2"/>
  <c r="Q15" i="2" s="1"/>
  <c r="I4" i="1"/>
  <c r="J4" i="1" s="1"/>
  <c r="K4" i="1"/>
  <c r="J5" i="1"/>
  <c r="J10" i="1" s="1"/>
  <c r="H10" i="1"/>
  <c r="I5" i="1"/>
  <c r="Q17" i="1"/>
  <c r="Q18" i="1" s="1"/>
  <c r="Q19" i="1" s="1"/>
  <c r="M17" i="1"/>
  <c r="M18" i="1" s="1"/>
  <c r="M19" i="1" s="1"/>
  <c r="I17" i="1"/>
  <c r="I18" i="1" s="1"/>
  <c r="I19" i="1" s="1"/>
  <c r="N19" i="1"/>
  <c r="J19" i="1"/>
  <c r="G10" i="1"/>
  <c r="P17" i="1"/>
  <c r="P18" i="1" s="1"/>
  <c r="P19" i="1" s="1"/>
  <c r="L17" i="1"/>
  <c r="L18" i="1" s="1"/>
  <c r="L19" i="1" s="1"/>
  <c r="H17" i="1"/>
  <c r="H18" i="1" s="1"/>
  <c r="H19" i="1" s="1"/>
  <c r="G19" i="1"/>
  <c r="Q10" i="1"/>
  <c r="I10" i="1"/>
  <c r="G14" i="1"/>
  <c r="O17" i="1"/>
  <c r="O18" i="1" s="1"/>
  <c r="O19" i="1" s="1"/>
  <c r="K17" i="1"/>
  <c r="K18" i="1" s="1"/>
  <c r="K19" i="1" s="1"/>
  <c r="Q18" i="2" l="1"/>
  <c r="Q19" i="2" s="1"/>
  <c r="Q21" i="2" s="1"/>
  <c r="Q20" i="2" s="1"/>
  <c r="Q22" i="2" s="1"/>
  <c r="Q23" i="2" s="1"/>
  <c r="G17" i="2"/>
  <c r="G18" i="2" s="1"/>
  <c r="G19" i="2" s="1"/>
  <c r="G21" i="2" s="1"/>
  <c r="G20" i="2" s="1"/>
  <c r="G22" i="2" s="1"/>
  <c r="G23" i="2" s="1"/>
  <c r="G10" i="2"/>
  <c r="G11" i="2" s="1"/>
  <c r="G14" i="2"/>
  <c r="I5" i="2"/>
  <c r="I10" i="2" s="1"/>
  <c r="H11" i="2" s="1"/>
  <c r="H14" i="2" s="1"/>
  <c r="H15" i="2" s="1"/>
  <c r="J4" i="2"/>
  <c r="G11" i="1"/>
  <c r="H11" i="1"/>
  <c r="H14" i="1" s="1"/>
  <c r="I11" i="1"/>
  <c r="I14" i="1" s="1"/>
  <c r="K5" i="1"/>
  <c r="K10" i="1" s="1"/>
  <c r="L4" i="1"/>
  <c r="G15" i="2" l="1"/>
  <c r="K4" i="2"/>
  <c r="J5" i="2"/>
  <c r="J10" i="2" s="1"/>
  <c r="I11" i="2" s="1"/>
  <c r="I14" i="2" s="1"/>
  <c r="I15" i="2" s="1"/>
  <c r="L5" i="1"/>
  <c r="L10" i="1" s="1"/>
  <c r="K11" i="1" s="1"/>
  <c r="K14" i="1" s="1"/>
  <c r="M4" i="1"/>
  <c r="J11" i="1"/>
  <c r="J14" i="1" s="1"/>
  <c r="L4" i="2" l="1"/>
  <c r="K5" i="2"/>
  <c r="K10" i="2" s="1"/>
  <c r="J11" i="2" s="1"/>
  <c r="J14" i="2" s="1"/>
  <c r="J15" i="2" s="1"/>
  <c r="N4" i="1"/>
  <c r="M5" i="1"/>
  <c r="M10" i="1" s="1"/>
  <c r="L11" i="1" s="1"/>
  <c r="L14" i="1" s="1"/>
  <c r="L5" i="2" l="1"/>
  <c r="L10" i="2" s="1"/>
  <c r="M4" i="2"/>
  <c r="O4" i="1"/>
  <c r="N5" i="1"/>
  <c r="N10" i="1" s="1"/>
  <c r="M11" i="1" s="1"/>
  <c r="M14" i="1" s="1"/>
  <c r="K11" i="2" l="1"/>
  <c r="K14" i="2" s="1"/>
  <c r="K15" i="2" s="1"/>
  <c r="M5" i="2"/>
  <c r="M10" i="2" s="1"/>
  <c r="N4" i="2"/>
  <c r="O5" i="1"/>
  <c r="O10" i="1" s="1"/>
  <c r="P4" i="1"/>
  <c r="P5" i="1" s="1"/>
  <c r="P10" i="1" s="1"/>
  <c r="P11" i="1" s="1"/>
  <c r="P14" i="1" s="1"/>
  <c r="O4" i="2" l="1"/>
  <c r="N5" i="2"/>
  <c r="N10" i="2" s="1"/>
  <c r="M11" i="2" s="1"/>
  <c r="M14" i="2" s="1"/>
  <c r="M15" i="2" s="1"/>
  <c r="L11" i="2"/>
  <c r="L14" i="2" s="1"/>
  <c r="L15" i="2" s="1"/>
  <c r="O11" i="1"/>
  <c r="O14" i="1" s="1"/>
  <c r="N11" i="1"/>
  <c r="N14" i="1" s="1"/>
  <c r="O5" i="2" l="1"/>
  <c r="O10" i="2" s="1"/>
  <c r="N11" i="2" s="1"/>
  <c r="N14" i="2" s="1"/>
  <c r="N15" i="2" s="1"/>
  <c r="P4" i="2"/>
  <c r="P5" i="2" s="1"/>
  <c r="P10" i="2" s="1"/>
  <c r="P11" i="2" s="1"/>
  <c r="P14" i="2" s="1"/>
  <c r="P15" i="2" s="1"/>
  <c r="O11" i="2" l="1"/>
  <c r="O14" i="2" s="1"/>
  <c r="O15" i="2" s="1"/>
</calcChain>
</file>

<file path=xl/sharedStrings.xml><?xml version="1.0" encoding="utf-8"?>
<sst xmlns="http://schemas.openxmlformats.org/spreadsheetml/2006/main" count="60" uniqueCount="25">
  <si>
    <t>L</t>
  </si>
  <si>
    <t>dx</t>
  </si>
  <si>
    <t>k</t>
  </si>
  <si>
    <t>R</t>
  </si>
  <si>
    <t>Cp</t>
  </si>
  <si>
    <t>p*</t>
  </si>
  <si>
    <t>T*</t>
  </si>
  <si>
    <t>p</t>
  </si>
  <si>
    <t>n</t>
  </si>
  <si>
    <t>№</t>
  </si>
  <si>
    <t>x</t>
  </si>
  <si>
    <t>A</t>
  </si>
  <si>
    <t>U</t>
  </si>
  <si>
    <t>ρ</t>
  </si>
  <si>
    <t>G</t>
  </si>
  <si>
    <t>dp</t>
  </si>
  <si>
    <t>T</t>
  </si>
  <si>
    <t>c</t>
  </si>
  <si>
    <t>M</t>
  </si>
  <si>
    <t>U_3d</t>
  </si>
  <si>
    <t>p_3d</t>
  </si>
  <si>
    <t>G_3d</t>
  </si>
  <si>
    <t>τ(λ)</t>
  </si>
  <si>
    <t>λ</t>
  </si>
  <si>
    <t>π(λ)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</si>
</sst>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"/>
  </numFmts>
  <fonts count="2" x14ac:knownFonts="1">
    <font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0" fillId="6" borderId="0" xfId="0" applyFill="1"/>
    <xf numFmtId="0" fontId="0" fillId="7" borderId="0" xfId="0" applyFill="1"/>
    <xf numFmtId="164" fontId="0" fillId="7" borderId="0" xfId="0" applyNumberFormat="1" applyFill="1" applyAlignment="1">
      <alignment horizontal="center"/>
    </xf>
    <xf numFmtId="0" fontId="0" fillId="8" borderId="0" xfId="0" applyFill="1"/>
    <xf numFmtId="164" fontId="0" fillId="8" borderId="0" xfId="0" applyNumberFormat="1" applyFill="1" applyAlignment="1">
      <alignment horizontal="center"/>
    </xf>
    <xf numFmtId="165" fontId="0" fillId="8" borderId="0" xfId="0" applyNumberFormat="1" applyFill="1" applyAlignment="1">
      <alignment horizontal="center"/>
    </xf>
    <xf numFmtId="0" fontId="0" fillId="9" borderId="0" xfId="0" applyFill="1"/>
    <xf numFmtId="0" fontId="0" fillId="10" borderId="0" xfId="0" applyFill="1"/>
    <xf numFmtId="164" fontId="0" fillId="10" borderId="0" xfId="0" applyNumberFormat="1" applyFill="1" applyAlignment="1">
      <alignment horizontal="center"/>
    </xf>
    <xf numFmtId="165" fontId="0" fillId="10" borderId="0" xfId="0" applyNumberFormat="1" applyFill="1" applyAlignment="1">
      <alignment horizontal="center"/>
    </xf>
    <xf numFmtId="0" fontId="0" fillId="11" borderId="0" xfId="0" applyFill="1"/>
    <xf numFmtId="165" fontId="0" fillId="11" borderId="0" xfId="0" applyNumberFormat="1" applyFill="1" applyAlignment="1">
      <alignment horizontal="center"/>
    </xf>
    <xf numFmtId="1" fontId="0" fillId="11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1" fontId="0" fillId="9" borderId="0" xfId="0" applyNumberFormat="1" applyFill="1" applyAlignment="1">
      <alignment horizontal="center"/>
    </xf>
    <xf numFmtId="0" fontId="0" fillId="12" borderId="0" xfId="0" applyFill="1"/>
    <xf numFmtId="2" fontId="0" fillId="11" borderId="0" xfId="0" applyNumberFormat="1" applyFill="1" applyAlignment="1">
      <alignment horizontal="center"/>
    </xf>
    <xf numFmtId="2" fontId="0" fillId="5" borderId="0" xfId="0" applyNumberFormat="1" applyFill="1" applyAlignment="1">
      <alignment horizontal="center"/>
    </xf>
    <xf numFmtId="0" fontId="0" fillId="12" borderId="0" xfId="0" applyFill="1" applyAlignment="1">
      <alignment horizontal="center"/>
    </xf>
    <xf numFmtId="164" fontId="0" fillId="12" borderId="0" xfId="0" applyNumberFormat="1" applyFill="1" applyAlignment="1">
      <alignment horizontal="center"/>
    </xf>
    <xf numFmtId="1" fontId="0" fillId="12" borderId="0" xfId="0" applyNumberFormat="1" applyFill="1" applyAlignment="1">
      <alignment horizontal="center"/>
    </xf>
    <xf numFmtId="0" fontId="0" fillId="9" borderId="0" xfId="0" applyFont="1" applyFill="1" applyBorder="1"/>
    <xf numFmtId="0" fontId="0" fillId="8" borderId="0" xfId="0" applyFont="1" applyFill="1" applyBorder="1"/>
    <xf numFmtId="0" fontId="1" fillId="8" borderId="0" xfId="0" applyFont="1" applyFill="1"/>
    <xf numFmtId="0" fontId="1" fillId="12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'ρ=const'!$G$3:$Q$3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'ρ=const'!$G$4:$Q$4</c:f>
              <c:numCache>
                <c:formatCode>0.000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482136"/>
        <c:axId val="527490368"/>
      </c:scatterChart>
      <c:valAx>
        <c:axId val="52748213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7490368"/>
        <c:crosses val="autoZero"/>
        <c:crossBetween val="midCat"/>
      </c:valAx>
      <c:valAx>
        <c:axId val="527490368"/>
        <c:scaling>
          <c:orientation val="minMax"/>
          <c:max val="8.0000000000000016E-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7482136"/>
        <c:crosses val="autoZero"/>
        <c:crossBetween val="midCat"/>
        <c:majorUnit val="2.0000000000000004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'ρ=const'!$G$3:$Q$3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'ρ=const'!$G$10:$Q$10</c:f>
              <c:numCache>
                <c:formatCode>0.000</c:formatCode>
                <c:ptCount val="11"/>
                <c:pt idx="0">
                  <c:v>1.3663165238514254</c:v>
                </c:pt>
                <c:pt idx="1">
                  <c:v>1.3663197670643263</c:v>
                </c:pt>
                <c:pt idx="2">
                  <c:v>1.3665020425140291</c:v>
                </c:pt>
                <c:pt idx="3">
                  <c:v>1.3667666214711018</c:v>
                </c:pt>
                <c:pt idx="4">
                  <c:v>1.3670804272061059</c:v>
                </c:pt>
                <c:pt idx="5">
                  <c:v>1.3674069190133782</c:v>
                </c:pt>
                <c:pt idx="6">
                  <c:v>1.3677090959522973</c:v>
                </c:pt>
                <c:pt idx="7">
                  <c:v>1.3679543599839601</c:v>
                </c:pt>
                <c:pt idx="8">
                  <c:v>1.3681211846855312</c:v>
                </c:pt>
                <c:pt idx="9">
                  <c:v>1.3682064201253559</c:v>
                </c:pt>
                <c:pt idx="10">
                  <c:v>1.3682298874393872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093904"/>
        <c:axId val="468104488"/>
      </c:scatterChart>
      <c:valAx>
        <c:axId val="46809390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8104488"/>
        <c:crosses val="autoZero"/>
        <c:crossBetween val="midCat"/>
      </c:valAx>
      <c:valAx>
        <c:axId val="468104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809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'ρ=const'!$G$3:$Q$3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'ρ=const'!$G$7:$Q$7</c:f>
              <c:numCache>
                <c:formatCode>0</c:formatCode>
                <c:ptCount val="11"/>
                <c:pt idx="0">
                  <c:v>133051.53526306202</c:v>
                </c:pt>
                <c:pt idx="1">
                  <c:v>132585.0204570019</c:v>
                </c:pt>
                <c:pt idx="2">
                  <c:v>131975.35096062184</c:v>
                </c:pt>
                <c:pt idx="3">
                  <c:v>131167.04864642158</c:v>
                </c:pt>
                <c:pt idx="4">
                  <c:v>130077.46773118924</c:v>
                </c:pt>
                <c:pt idx="5">
                  <c:v>128581.01478432902</c:v>
                </c:pt>
                <c:pt idx="6">
                  <c:v>126481.62501993927</c:v>
                </c:pt>
                <c:pt idx="7">
                  <c:v>123463.65894101333</c:v>
                </c:pt>
                <c:pt idx="8">
                  <c:v>119000.64254371545</c:v>
                </c:pt>
                <c:pt idx="9">
                  <c:v>112177.50864414574</c:v>
                </c:pt>
                <c:pt idx="10">
                  <c:v>101325</c:v>
                </c:pt>
              </c:numCache>
            </c:numRef>
          </c:yVal>
          <c:smooth val="1"/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'ρ=const'!$R$23:$V$23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'ρ=const'!$R$25:$V$25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162568"/>
        <c:axId val="403157472"/>
      </c:scatterChart>
      <c:valAx>
        <c:axId val="40316256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157472"/>
        <c:crosses val="autoZero"/>
        <c:crossBetween val="midCat"/>
      </c:valAx>
      <c:valAx>
        <c:axId val="403157472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162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'ρ=const'!$G$3:$Q$3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'ρ=const'!$G$6:$Q$6</c:f>
              <c:numCache>
                <c:formatCode>0</c:formatCode>
                <c:ptCount val="11"/>
                <c:pt idx="0">
                  <c:v>57.345863662693617</c:v>
                </c:pt>
                <c:pt idx="1">
                  <c:v>63.541273244471491</c:v>
                </c:pt>
                <c:pt idx="2">
                  <c:v>70.806929022965377</c:v>
                </c:pt>
                <c:pt idx="3">
                  <c:v>79.397519650294129</c:v>
                </c:pt>
                <c:pt idx="4">
                  <c:v>89.652956402094503</c:v>
                </c:pt>
                <c:pt idx="5">
                  <c:v>102.02955520689169</c:v>
                </c:pt>
                <c:pt idx="6">
                  <c:v>117.15172537059544</c:v>
                </c:pt>
                <c:pt idx="7">
                  <c:v>135.8927282316663</c:v>
                </c:pt>
                <c:pt idx="8">
                  <c:v>159.50475198776721</c:v>
                </c:pt>
                <c:pt idx="9">
                  <c:v>189.83572747710338</c:v>
                </c:pt>
                <c:pt idx="10">
                  <c:v>229.70519916278516</c:v>
                </c:pt>
              </c:numCache>
            </c:numRef>
          </c:yVal>
          <c:smooth val="1"/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'ρ=const'!$R$23:$V$23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'ρ=const'!$R$24:$V$24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616720"/>
        <c:axId val="532613976"/>
      </c:scatterChart>
      <c:valAx>
        <c:axId val="53261672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613976"/>
        <c:crosses val="autoZero"/>
        <c:crossBetween val="midCat"/>
      </c:valAx>
      <c:valAx>
        <c:axId val="532613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6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'ρ=const'!$G$3:$Q$3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'ρ=const'!$G$4:$Q$4</c:f>
              <c:numCache>
                <c:formatCode>0.000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322848"/>
        <c:axId val="531324024"/>
      </c:scatterChart>
      <c:valAx>
        <c:axId val="53132284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1324024"/>
        <c:crosses val="autoZero"/>
        <c:crossBetween val="midCat"/>
      </c:valAx>
      <c:valAx>
        <c:axId val="531324024"/>
        <c:scaling>
          <c:orientation val="minMax"/>
          <c:max val="8.0000000000000016E-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1322848"/>
        <c:crosses val="autoZero"/>
        <c:crossBetween val="midCat"/>
        <c:majorUnit val="2.0000000000000004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'ρ=const'!$G$3:$Q$3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'ρ=const'!$G$10:$Q$10</c:f>
              <c:numCache>
                <c:formatCode>0.000</c:formatCode>
                <c:ptCount val="11"/>
                <c:pt idx="0">
                  <c:v>1.3663165238514254</c:v>
                </c:pt>
                <c:pt idx="1">
                  <c:v>1.3663197670643263</c:v>
                </c:pt>
                <c:pt idx="2">
                  <c:v>1.3665020425140291</c:v>
                </c:pt>
                <c:pt idx="3">
                  <c:v>1.3667666214711018</c:v>
                </c:pt>
                <c:pt idx="4">
                  <c:v>1.3670804272061059</c:v>
                </c:pt>
                <c:pt idx="5">
                  <c:v>1.3674069190133782</c:v>
                </c:pt>
                <c:pt idx="6">
                  <c:v>1.3677090959522973</c:v>
                </c:pt>
                <c:pt idx="7">
                  <c:v>1.3679543599839601</c:v>
                </c:pt>
                <c:pt idx="8">
                  <c:v>1.3681211846855312</c:v>
                </c:pt>
                <c:pt idx="9">
                  <c:v>1.3682064201253559</c:v>
                </c:pt>
                <c:pt idx="10">
                  <c:v>1.3682298874393872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324808"/>
        <c:axId val="531322064"/>
      </c:scatterChart>
      <c:valAx>
        <c:axId val="5313248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1322064"/>
        <c:crosses val="autoZero"/>
        <c:crossBetween val="midCat"/>
      </c:valAx>
      <c:valAx>
        <c:axId val="53132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1324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'ρ=var'!$G$3:$Q$3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'ρ=var'!$G$7:$Q$7</c:f>
              <c:numCache>
                <c:formatCode>0</c:formatCode>
                <c:ptCount val="11"/>
                <c:pt idx="0">
                  <c:v>133574.18444342678</c:v>
                </c:pt>
                <c:pt idx="1">
                  <c:v>133226.26050437707</c:v>
                </c:pt>
                <c:pt idx="2">
                  <c:v>132771.14817607414</c:v>
                </c:pt>
                <c:pt idx="3">
                  <c:v>132161.66969955643</c:v>
                </c:pt>
                <c:pt idx="4">
                  <c:v>131328.90315320916</c:v>
                </c:pt>
                <c:pt idx="5">
                  <c:v>130163.64109060574</c:v>
                </c:pt>
                <c:pt idx="6">
                  <c:v>128484.94958704351</c:v>
                </c:pt>
                <c:pt idx="7">
                  <c:v>125974.43646060237</c:v>
                </c:pt>
                <c:pt idx="8">
                  <c:v>122019.78165594733</c:v>
                </c:pt>
                <c:pt idx="9">
                  <c:v>115251.11226295443</c:v>
                </c:pt>
                <c:pt idx="10">
                  <c:v>101325</c:v>
                </c:pt>
              </c:numCache>
            </c:numRef>
          </c:yVal>
          <c:smooth val="1"/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'ρ=const'!$R$23:$V$23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'ρ=const'!$R$25:$V$25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89200"/>
        <c:axId val="42089984"/>
      </c:scatterChart>
      <c:valAx>
        <c:axId val="420892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89984"/>
        <c:crosses val="autoZero"/>
        <c:crossBetween val="midCat"/>
      </c:valAx>
      <c:valAx>
        <c:axId val="42089984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8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'ρ=var'!$G$3:$Q$3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'ρ=var'!$G$6:$Q$6</c:f>
              <c:numCache>
                <c:formatCode>0</c:formatCode>
                <c:ptCount val="11"/>
                <c:pt idx="0">
                  <c:v>41.95278447630713</c:v>
                </c:pt>
                <c:pt idx="1">
                  <c:v>46.573082256035249</c:v>
                </c:pt>
                <c:pt idx="2">
                  <c:v>51.999185042947929</c:v>
                </c:pt>
                <c:pt idx="3">
                  <c:v>58.481602271150301</c:v>
                </c:pt>
                <c:pt idx="4">
                  <c:v>66.327094640505265</c:v>
                </c:pt>
                <c:pt idx="5">
                  <c:v>75.973670816402276</c:v>
                </c:pt>
                <c:pt idx="6">
                  <c:v>88.075684219293038</c:v>
                </c:pt>
                <c:pt idx="7">
                  <c:v>103.67558600772699</c:v>
                </c:pt>
                <c:pt idx="8">
                  <c:v>124.60672181010374</c:v>
                </c:pt>
                <c:pt idx="9">
                  <c:v>154.70176967133884</c:v>
                </c:pt>
                <c:pt idx="10">
                  <c:v>205.86731387529116</c:v>
                </c:pt>
              </c:numCache>
            </c:numRef>
          </c:yVal>
          <c:smooth val="1"/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'ρ=const'!$R$23:$V$23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'ρ=const'!$R$24:$V$24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88808"/>
        <c:axId val="405930304"/>
      </c:scatterChart>
      <c:valAx>
        <c:axId val="420888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930304"/>
        <c:crosses val="autoZero"/>
        <c:crossBetween val="midCat"/>
      </c:valAx>
      <c:valAx>
        <c:axId val="40593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88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66822206207887347"/>
          <c:h val="0.73293075993416301"/>
        </c:manualLayout>
      </c:layout>
      <c:scatterChart>
        <c:scatterStyle val="smoothMarker"/>
        <c:varyColors val="0"/>
        <c:ser>
          <c:idx val="0"/>
          <c:order val="0"/>
          <c:tx>
            <c:v>U_ρ=const</c:v>
          </c:tx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'ρ=const'!$G$3:$Q$3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'ρ=const'!$G$6:$Q$6</c:f>
              <c:numCache>
                <c:formatCode>0</c:formatCode>
                <c:ptCount val="11"/>
                <c:pt idx="0">
                  <c:v>57.345863662693617</c:v>
                </c:pt>
                <c:pt idx="1">
                  <c:v>63.541273244471491</c:v>
                </c:pt>
                <c:pt idx="2">
                  <c:v>70.806929022965377</c:v>
                </c:pt>
                <c:pt idx="3">
                  <c:v>79.397519650294129</c:v>
                </c:pt>
                <c:pt idx="4">
                  <c:v>89.652956402094503</c:v>
                </c:pt>
                <c:pt idx="5">
                  <c:v>102.02955520689169</c:v>
                </c:pt>
                <c:pt idx="6">
                  <c:v>117.15172537059544</c:v>
                </c:pt>
                <c:pt idx="7">
                  <c:v>135.8927282316663</c:v>
                </c:pt>
                <c:pt idx="8">
                  <c:v>159.50475198776721</c:v>
                </c:pt>
                <c:pt idx="9">
                  <c:v>189.83572747710338</c:v>
                </c:pt>
                <c:pt idx="10">
                  <c:v>229.70519916278516</c:v>
                </c:pt>
              </c:numCache>
            </c:numRef>
          </c:yVal>
          <c:smooth val="1"/>
        </c:ser>
        <c:ser>
          <c:idx val="1"/>
          <c:order val="1"/>
          <c:tx>
            <c:v>U_3D</c:v>
          </c:tx>
          <c:spPr>
            <a:ln w="254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'ρ=const'!$R$23:$V$23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'ρ=const'!$R$24:$V$24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</c:ser>
        <c:ser>
          <c:idx val="2"/>
          <c:order val="2"/>
          <c:tx>
            <c:v>U_ρ=var</c:v>
          </c:tx>
          <c:spPr>
            <a:ln w="25400" cap="rnd">
              <a:solidFill>
                <a:srgbClr val="92D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'ρ=var'!$G$3:$Q$3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'ρ=var'!$G$6:$Q$6</c:f>
              <c:numCache>
                <c:formatCode>0</c:formatCode>
                <c:ptCount val="11"/>
                <c:pt idx="0">
                  <c:v>41.95278447630713</c:v>
                </c:pt>
                <c:pt idx="1">
                  <c:v>46.573082256035249</c:v>
                </c:pt>
                <c:pt idx="2">
                  <c:v>51.999185042947929</c:v>
                </c:pt>
                <c:pt idx="3">
                  <c:v>58.481602271150301</c:v>
                </c:pt>
                <c:pt idx="4">
                  <c:v>66.327094640505265</c:v>
                </c:pt>
                <c:pt idx="5">
                  <c:v>75.973670816402276</c:v>
                </c:pt>
                <c:pt idx="6">
                  <c:v>88.075684219293038</c:v>
                </c:pt>
                <c:pt idx="7">
                  <c:v>103.67558600772699</c:v>
                </c:pt>
                <c:pt idx="8">
                  <c:v>124.60672181010374</c:v>
                </c:pt>
                <c:pt idx="9">
                  <c:v>154.70176967133884</c:v>
                </c:pt>
                <c:pt idx="10">
                  <c:v>205.86731387529116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098216"/>
        <c:axId val="468094688"/>
      </c:scatterChart>
      <c:valAx>
        <c:axId val="46809821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8094688"/>
        <c:crosses val="autoZero"/>
        <c:crossBetween val="midCat"/>
      </c:valAx>
      <c:valAx>
        <c:axId val="46809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8098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49941104864461"/>
          <c:y val="0.42231390718842515"/>
          <c:w val="0.17555706943025623"/>
          <c:h val="0.207545861211580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208490</xdr:colOff>
      <xdr:row>22</xdr:row>
      <xdr:rowOff>157692</xdr:rowOff>
    </xdr:from>
    <xdr:to>
      <xdr:col>7</xdr:col>
      <xdr:colOff>465666</xdr:colOff>
      <xdr:row>39</xdr:row>
      <xdr:rowOff>19579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740834</xdr:colOff>
      <xdr:row>22</xdr:row>
      <xdr:rowOff>158750</xdr:rowOff>
    </xdr:from>
    <xdr:to>
      <xdr:col>15</xdr:col>
      <xdr:colOff>320676</xdr:colOff>
      <xdr:row>39</xdr:row>
      <xdr:rowOff>20637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462491</xdr:colOff>
          <xdr:row>15</xdr:row>
          <xdr:rowOff>51858</xdr:rowOff>
        </xdr:from>
        <xdr:to>
          <xdr:col>3</xdr:col>
          <xdr:colOff>158749</xdr:colOff>
          <xdr:row>18</xdr:row>
          <xdr:rowOff>10583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Нажать, чтобы получить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457199</xdr:colOff>
          <xdr:row>18</xdr:row>
          <xdr:rowOff>141817</xdr:rowOff>
        </xdr:from>
        <xdr:to>
          <xdr:col>3</xdr:col>
          <xdr:colOff>126999</xdr:colOff>
          <xdr:row>21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 расчетной области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201083</xdr:colOff>
      <xdr:row>39</xdr:row>
      <xdr:rowOff>158750</xdr:rowOff>
    </xdr:from>
    <xdr:to>
      <xdr:col>7</xdr:col>
      <xdr:colOff>468842</xdr:colOff>
      <xdr:row>56</xdr:row>
      <xdr:rowOff>20637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10583</xdr:colOff>
      <xdr:row>40</xdr:row>
      <xdr:rowOff>42334</xdr:rowOff>
    </xdr:from>
    <xdr:to>
      <xdr:col>15</xdr:col>
      <xdr:colOff>363009</xdr:colOff>
      <xdr:row>56</xdr:row>
      <xdr:rowOff>94721</xdr:rowOff>
    </xdr:to>
    <xdr:graphicFrame macro="">
      <xdr:nvGraphicFramePr>
        <xdr:cNvPr id="10" name="Диаграмма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0.14738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90500" y="107950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R,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G,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кг/с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p,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Па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U,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м/с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198965</xdr:colOff>
      <xdr:row>27</xdr:row>
      <xdr:rowOff>129117</xdr:rowOff>
    </xdr:from>
    <xdr:to>
      <xdr:col>7</xdr:col>
      <xdr:colOff>456141</xdr:colOff>
      <xdr:row>43</xdr:row>
      <xdr:rowOff>181504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16934</xdr:colOff>
      <xdr:row>27</xdr:row>
      <xdr:rowOff>130175</xdr:rowOff>
    </xdr:from>
    <xdr:to>
      <xdr:col>15</xdr:col>
      <xdr:colOff>339726</xdr:colOff>
      <xdr:row>43</xdr:row>
      <xdr:rowOff>182562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462491</xdr:colOff>
          <xdr:row>15</xdr:row>
          <xdr:rowOff>51858</xdr:rowOff>
        </xdr:from>
        <xdr:to>
          <xdr:col>3</xdr:col>
          <xdr:colOff>215899</xdr:colOff>
          <xdr:row>18</xdr:row>
          <xdr:rowOff>10583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Нажать, чтобы получить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457199</xdr:colOff>
          <xdr:row>18</xdr:row>
          <xdr:rowOff>141817</xdr:rowOff>
        </xdr:from>
        <xdr:to>
          <xdr:col>3</xdr:col>
          <xdr:colOff>184149</xdr:colOff>
          <xdr:row>21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 расчетной области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201083</xdr:colOff>
      <xdr:row>44</xdr:row>
      <xdr:rowOff>168275</xdr:rowOff>
    </xdr:from>
    <xdr:to>
      <xdr:col>7</xdr:col>
      <xdr:colOff>468842</xdr:colOff>
      <xdr:row>61</xdr:row>
      <xdr:rowOff>30162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601133</xdr:colOff>
      <xdr:row>45</xdr:row>
      <xdr:rowOff>4234</xdr:rowOff>
    </xdr:from>
    <xdr:to>
      <xdr:col>15</xdr:col>
      <xdr:colOff>343959</xdr:colOff>
      <xdr:row>61</xdr:row>
      <xdr:rowOff>56621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603249</xdr:colOff>
      <xdr:row>61</xdr:row>
      <xdr:rowOff>127000</xdr:rowOff>
    </xdr:from>
    <xdr:to>
      <xdr:col>15</xdr:col>
      <xdr:colOff>571498</xdr:colOff>
      <xdr:row>83</xdr:row>
      <xdr:rowOff>74083</xdr:rowOff>
    </xdr:to>
    <xdr:graphicFrame macro="">
      <xdr:nvGraphicFramePr>
        <xdr:cNvPr id="8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0.14738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90500" y="107950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R,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G,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кг/с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p,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Па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U,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м/с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U,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м/с</a:t>
          </a:r>
        </a:p>
      </cdr:txBody>
    </cdr:sp>
  </cdr:relSizeAnchor>
  <cdr:relSizeAnchor xmlns:cdr="http://schemas.openxmlformats.org/drawingml/2006/chartDrawing">
    <cdr:from>
      <cdr:x>0.80951</cdr:x>
      <cdr:y>0.86174</cdr:y>
    </cdr:from>
    <cdr:to>
      <cdr:x>0.91958</cdr:x>
      <cdr:y>0.94008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6451162" y="3565943"/>
          <a:ext cx="877175" cy="3241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2:V26"/>
  <sheetViews>
    <sheetView topLeftCell="A19" zoomScale="90" zoomScaleNormal="90" workbookViewId="0">
      <selection activeCell="I22" sqref="I22"/>
    </sheetView>
  </sheetViews>
  <sheetFormatPr defaultRowHeight="15" x14ac:dyDescent="0.25"/>
  <cols>
    <col min="3" max="3" width="10" bestFit="1" customWidth="1"/>
    <col min="7" max="7" width="10.7109375" customWidth="1"/>
    <col min="8" max="8" width="11.5703125" bestFit="1" customWidth="1"/>
    <col min="9" max="17" width="9.28515625" bestFit="1" customWidth="1"/>
  </cols>
  <sheetData>
    <row r="2" spans="2:17" x14ac:dyDescent="0.25">
      <c r="F2" s="22" t="s">
        <v>9</v>
      </c>
      <c r="G2" s="25">
        <v>1</v>
      </c>
      <c r="H2" s="25">
        <v>2</v>
      </c>
      <c r="I2" s="25">
        <v>3</v>
      </c>
      <c r="J2" s="25">
        <v>4</v>
      </c>
      <c r="K2" s="25">
        <v>5</v>
      </c>
      <c r="L2" s="25">
        <v>6</v>
      </c>
      <c r="M2" s="25">
        <v>7</v>
      </c>
      <c r="N2" s="25">
        <v>8</v>
      </c>
      <c r="O2" s="25">
        <v>9</v>
      </c>
      <c r="P2" s="25">
        <v>10</v>
      </c>
      <c r="Q2" s="25">
        <v>11</v>
      </c>
    </row>
    <row r="3" spans="2:17" x14ac:dyDescent="0.25">
      <c r="B3" s="1" t="s">
        <v>0</v>
      </c>
      <c r="C3" s="1">
        <v>0.1</v>
      </c>
      <c r="F3" s="7" t="s">
        <v>10</v>
      </c>
      <c r="G3" s="5">
        <v>0</v>
      </c>
      <c r="H3" s="5">
        <f>G3+$C$4</f>
        <v>0.01</v>
      </c>
      <c r="I3" s="5">
        <f t="shared" ref="I3:Q3" si="0">H3+$C$4</f>
        <v>0.02</v>
      </c>
      <c r="J3" s="5">
        <f t="shared" si="0"/>
        <v>0.03</v>
      </c>
      <c r="K3" s="5">
        <f t="shared" si="0"/>
        <v>0.04</v>
      </c>
      <c r="L3" s="5">
        <f t="shared" si="0"/>
        <v>0.05</v>
      </c>
      <c r="M3" s="5">
        <f t="shared" si="0"/>
        <v>6.0000000000000005E-2</v>
      </c>
      <c r="N3" s="5">
        <f t="shared" si="0"/>
        <v>7.0000000000000007E-2</v>
      </c>
      <c r="O3" s="5">
        <f t="shared" si="0"/>
        <v>0.08</v>
      </c>
      <c r="P3" s="5">
        <f t="shared" si="0"/>
        <v>0.09</v>
      </c>
      <c r="Q3" s="5">
        <f t="shared" si="0"/>
        <v>9.9999999999999992E-2</v>
      </c>
    </row>
    <row r="4" spans="2:17" x14ac:dyDescent="0.25">
      <c r="B4" s="1" t="s">
        <v>1</v>
      </c>
      <c r="C4" s="1">
        <f>C3/10</f>
        <v>0.01</v>
      </c>
      <c r="F4" s="22" t="s">
        <v>3</v>
      </c>
      <c r="G4" s="26">
        <v>0.08</v>
      </c>
      <c r="H4" s="26">
        <f>G4+($Q$4-$G$4)/10</f>
        <v>7.5999999999999998E-2</v>
      </c>
      <c r="I4" s="26">
        <f t="shared" ref="I4:P4" si="1">H4+($Q$4-$G$4)/10</f>
        <v>7.1999999999999995E-2</v>
      </c>
      <c r="J4" s="26">
        <f t="shared" si="1"/>
        <v>6.7999999999999991E-2</v>
      </c>
      <c r="K4" s="26">
        <f t="shared" si="1"/>
        <v>6.3999999999999987E-2</v>
      </c>
      <c r="L4" s="26">
        <f t="shared" si="1"/>
        <v>5.9999999999999984E-2</v>
      </c>
      <c r="M4" s="26">
        <f t="shared" si="1"/>
        <v>5.599999999999998E-2</v>
      </c>
      <c r="N4" s="26">
        <f t="shared" si="1"/>
        <v>5.1999999999999977E-2</v>
      </c>
      <c r="O4" s="26">
        <f t="shared" si="1"/>
        <v>4.7999999999999973E-2</v>
      </c>
      <c r="P4" s="26">
        <f t="shared" si="1"/>
        <v>4.399999999999997E-2</v>
      </c>
      <c r="Q4" s="26">
        <v>0.04</v>
      </c>
    </row>
    <row r="5" spans="2:17" x14ac:dyDescent="0.25">
      <c r="F5" s="7" t="s">
        <v>11</v>
      </c>
      <c r="G5" s="5">
        <f>PI()*G4^2</f>
        <v>2.0106192982974676E-2</v>
      </c>
      <c r="H5" s="5">
        <f t="shared" ref="H5:Q5" si="2">PI()*H4^2</f>
        <v>1.8145839167134643E-2</v>
      </c>
      <c r="I5" s="5">
        <f t="shared" si="2"/>
        <v>1.6286016316209486E-2</v>
      </c>
      <c r="J5" s="5">
        <f t="shared" si="2"/>
        <v>1.4526724430199199E-2</v>
      </c>
      <c r="K5" s="5">
        <f t="shared" si="2"/>
        <v>1.2867963509103787E-2</v>
      </c>
      <c r="L5" s="5">
        <f t="shared" si="2"/>
        <v>1.1309733552923249E-2</v>
      </c>
      <c r="M5" s="5">
        <f t="shared" si="2"/>
        <v>9.8520345616575841E-3</v>
      </c>
      <c r="N5" s="5">
        <f t="shared" si="2"/>
        <v>8.4948665353067939E-3</v>
      </c>
      <c r="O5" s="5">
        <f t="shared" si="2"/>
        <v>7.2382294738708754E-3</v>
      </c>
      <c r="P5" s="5">
        <f t="shared" si="2"/>
        <v>6.0821233773498311E-3</v>
      </c>
      <c r="Q5" s="5">
        <f t="shared" si="2"/>
        <v>5.0265482457436689E-3</v>
      </c>
    </row>
    <row r="6" spans="2:17" x14ac:dyDescent="0.25">
      <c r="B6" s="2" t="s">
        <v>2</v>
      </c>
      <c r="C6" s="2">
        <v>1.4</v>
      </c>
      <c r="F6" s="22" t="s">
        <v>12</v>
      </c>
      <c r="G6" s="27">
        <v>57.345863662693617</v>
      </c>
      <c r="H6" s="27">
        <v>63.541273244471491</v>
      </c>
      <c r="I6" s="27">
        <v>70.806929022965377</v>
      </c>
      <c r="J6" s="27">
        <v>79.397519650294129</v>
      </c>
      <c r="K6" s="27">
        <v>89.652956402094503</v>
      </c>
      <c r="L6" s="27">
        <v>102.02955520689169</v>
      </c>
      <c r="M6" s="27">
        <v>117.15172537059544</v>
      </c>
      <c r="N6" s="27">
        <v>135.8927282316663</v>
      </c>
      <c r="O6" s="27">
        <v>159.50475198776721</v>
      </c>
      <c r="P6" s="27">
        <v>189.83572747710338</v>
      </c>
      <c r="Q6" s="27">
        <v>229.70519916278516</v>
      </c>
    </row>
    <row r="7" spans="2:17" x14ac:dyDescent="0.25">
      <c r="B7" s="2" t="s">
        <v>3</v>
      </c>
      <c r="C7" s="2">
        <v>286.97199999999998</v>
      </c>
      <c r="F7" s="7" t="s">
        <v>7</v>
      </c>
      <c r="G7" s="6">
        <v>133051.53526306202</v>
      </c>
      <c r="H7" s="6">
        <v>132585.0204570019</v>
      </c>
      <c r="I7" s="6">
        <v>131975.35096062184</v>
      </c>
      <c r="J7" s="6">
        <v>131167.04864642158</v>
      </c>
      <c r="K7" s="6">
        <v>130077.46773118924</v>
      </c>
      <c r="L7" s="6">
        <v>128581.01478432902</v>
      </c>
      <c r="M7" s="6">
        <v>126481.62501993927</v>
      </c>
      <c r="N7" s="6">
        <v>123463.65894101333</v>
      </c>
      <c r="O7" s="6">
        <v>119000.64254371545</v>
      </c>
      <c r="P7" s="6">
        <v>112177.50864414574</v>
      </c>
      <c r="Q7" s="6">
        <v>101325</v>
      </c>
    </row>
    <row r="8" spans="2:17" x14ac:dyDescent="0.25">
      <c r="B8" s="2" t="s">
        <v>4</v>
      </c>
      <c r="C8" s="2">
        <v>1004.4</v>
      </c>
      <c r="F8" s="22" t="s">
        <v>13</v>
      </c>
      <c r="G8" s="26">
        <v>1.1850000000000001</v>
      </c>
      <c r="H8" s="26">
        <v>1.1850000000000001</v>
      </c>
      <c r="I8" s="26">
        <v>1.1850000000000001</v>
      </c>
      <c r="J8" s="26">
        <v>1.1850000000000001</v>
      </c>
      <c r="K8" s="26">
        <v>1.1850000000000001</v>
      </c>
      <c r="L8" s="26">
        <v>1.1850000000000001</v>
      </c>
      <c r="M8" s="26">
        <v>1.1850000000000001</v>
      </c>
      <c r="N8" s="26">
        <v>1.1850000000000001</v>
      </c>
      <c r="O8" s="26">
        <v>1.1850000000000001</v>
      </c>
      <c r="P8" s="26">
        <v>1.1850000000000001</v>
      </c>
      <c r="Q8" s="26">
        <v>1.1850000000000001</v>
      </c>
    </row>
    <row r="10" spans="2:17" x14ac:dyDescent="0.25">
      <c r="B10" s="3" t="s">
        <v>5</v>
      </c>
      <c r="C10" s="3">
        <v>135000</v>
      </c>
      <c r="F10" s="8" t="s">
        <v>14</v>
      </c>
      <c r="G10" s="9">
        <f>G5*G13*G8</f>
        <v>1.3663165238514254</v>
      </c>
      <c r="H10" s="9">
        <f t="shared" ref="H10:Q10" si="3">H5*H13*H8</f>
        <v>1.3663197670643263</v>
      </c>
      <c r="I10" s="9">
        <f t="shared" si="3"/>
        <v>1.3665020425140291</v>
      </c>
      <c r="J10" s="9">
        <f t="shared" si="3"/>
        <v>1.3667666214711018</v>
      </c>
      <c r="K10" s="9">
        <f t="shared" si="3"/>
        <v>1.3670804272061059</v>
      </c>
      <c r="L10" s="9">
        <f t="shared" si="3"/>
        <v>1.3674069190133782</v>
      </c>
      <c r="M10" s="9">
        <f t="shared" si="3"/>
        <v>1.3677090959522973</v>
      </c>
      <c r="N10" s="9">
        <f t="shared" si="3"/>
        <v>1.3679543599839601</v>
      </c>
      <c r="O10" s="9">
        <f t="shared" si="3"/>
        <v>1.3681211846855312</v>
      </c>
      <c r="P10" s="9">
        <f t="shared" si="3"/>
        <v>1.3682064201253559</v>
      </c>
      <c r="Q10" s="9">
        <f t="shared" si="3"/>
        <v>1.3682298874393872</v>
      </c>
    </row>
    <row r="11" spans="2:17" x14ac:dyDescent="0.25">
      <c r="B11" s="3" t="s">
        <v>6</v>
      </c>
      <c r="C11" s="3">
        <v>288.16000000000003</v>
      </c>
      <c r="F11" s="14" t="s">
        <v>15</v>
      </c>
      <c r="G11" s="15">
        <f>(G13)*(G10-H10)</f>
        <v>-1.8598528410658914E-4</v>
      </c>
      <c r="H11" s="16">
        <f>(H13)*(H10-I10)</f>
        <v>-1.1582041647439948E-2</v>
      </c>
      <c r="I11" s="16">
        <f t="shared" ref="I11:Q11" si="4">(I13)*(I10-J10)</f>
        <v>-1.8734079957272262E-2</v>
      </c>
      <c r="J11" s="16">
        <f t="shared" si="4"/>
        <v>-2.491547619513871E-2</v>
      </c>
      <c r="K11" s="16">
        <f t="shared" si="4"/>
        <v>-2.927104196555097E-2</v>
      </c>
      <c r="L11" s="16">
        <f t="shared" si="4"/>
        <v>-3.0831053631231058E-2</v>
      </c>
      <c r="M11" s="16">
        <f t="shared" si="4"/>
        <v>-2.8733155360308286E-2</v>
      </c>
      <c r="N11" s="16">
        <f t="shared" si="4"/>
        <v>-2.2670288881948754E-2</v>
      </c>
      <c r="O11" s="16">
        <f t="shared" si="4"/>
        <v>-1.3595465323342919E-2</v>
      </c>
      <c r="P11" s="16">
        <f t="shared" si="4"/>
        <v>-4.4549356265482119E-3</v>
      </c>
      <c r="Q11" s="16">
        <v>0</v>
      </c>
    </row>
    <row r="12" spans="2:17" x14ac:dyDescent="0.25">
      <c r="B12" s="3" t="s">
        <v>7</v>
      </c>
      <c r="C12" s="3">
        <v>101325</v>
      </c>
    </row>
    <row r="13" spans="2:17" x14ac:dyDescent="0.25">
      <c r="F13" s="10" t="s">
        <v>12</v>
      </c>
      <c r="G13" s="12">
        <f>(H5*H6*H8)/(G5*G8)</f>
        <v>57.345999103135519</v>
      </c>
      <c r="H13" s="20">
        <f>((G7-H7)/H8+G6*H6)^0.5</f>
        <v>63.541424071804343</v>
      </c>
      <c r="I13" s="20">
        <f t="shared" ref="I13:Q13" si="5">((H7-I7)/I8+H6*I6)^0.5</f>
        <v>70.80714265616993</v>
      </c>
      <c r="J13" s="20">
        <f t="shared" si="5"/>
        <v>79.397771984047765</v>
      </c>
      <c r="K13" s="20">
        <f t="shared" si="5"/>
        <v>89.653220428711691</v>
      </c>
      <c r="L13" s="20">
        <f t="shared" si="5"/>
        <v>102.02980327193542</v>
      </c>
      <c r="M13" s="20">
        <f t="shared" si="5"/>
        <v>117.15193281912278</v>
      </c>
      <c r="N13" s="20">
        <f t="shared" si="5"/>
        <v>135.89287838336543</v>
      </c>
      <c r="O13" s="20">
        <f t="shared" si="5"/>
        <v>159.50484154612224</v>
      </c>
      <c r="P13" s="20">
        <f t="shared" si="5"/>
        <v>189.835769896622</v>
      </c>
      <c r="Q13" s="20">
        <f t="shared" si="5"/>
        <v>229.70522138401481</v>
      </c>
    </row>
    <row r="14" spans="2:17" x14ac:dyDescent="0.25">
      <c r="B14" s="4" t="s">
        <v>8</v>
      </c>
      <c r="C14" s="4">
        <v>2000</v>
      </c>
      <c r="D14">
        <v>2000</v>
      </c>
      <c r="F14" s="13" t="s">
        <v>7</v>
      </c>
      <c r="G14" s="21">
        <f>C10-(G8*G13^2)/2</f>
        <v>133051.52605921644</v>
      </c>
      <c r="H14" s="21">
        <f>H7+H11</f>
        <v>132585.00887496024</v>
      </c>
      <c r="I14" s="21">
        <f t="shared" ref="I14:Q14" si="6">I7+I11</f>
        <v>131975.33222654188</v>
      </c>
      <c r="J14" s="21">
        <f t="shared" si="6"/>
        <v>131167.0237309454</v>
      </c>
      <c r="K14" s="21">
        <f t="shared" si="6"/>
        <v>130077.43846014728</v>
      </c>
      <c r="L14" s="21">
        <f t="shared" si="6"/>
        <v>128580.98395327538</v>
      </c>
      <c r="M14" s="21">
        <f t="shared" si="6"/>
        <v>126481.59628678391</v>
      </c>
      <c r="N14" s="21">
        <f t="shared" si="6"/>
        <v>123463.63627072446</v>
      </c>
      <c r="O14" s="21">
        <f t="shared" si="6"/>
        <v>119000.62894825013</v>
      </c>
      <c r="P14" s="21">
        <f t="shared" si="6"/>
        <v>112177.50418921011</v>
      </c>
      <c r="Q14" s="21">
        <f>C12</f>
        <v>101325</v>
      </c>
    </row>
    <row r="15" spans="2:17" x14ac:dyDescent="0.25">
      <c r="F15" s="10" t="s">
        <v>13</v>
      </c>
      <c r="G15" s="11">
        <v>1.1850000000000001</v>
      </c>
      <c r="H15" s="11">
        <v>1.1850000000000001</v>
      </c>
      <c r="I15" s="11">
        <v>1.1850000000000001</v>
      </c>
      <c r="J15" s="11">
        <v>1.1850000000000001</v>
      </c>
      <c r="K15" s="11">
        <v>1.1850000000000001</v>
      </c>
      <c r="L15" s="11">
        <v>1.1850000000000001</v>
      </c>
      <c r="M15" s="11">
        <v>1.1850000000000001</v>
      </c>
      <c r="N15" s="11">
        <v>1.1850000000000001</v>
      </c>
      <c r="O15" s="11">
        <v>1.1850000000000001</v>
      </c>
      <c r="P15" s="11">
        <v>1.1850000000000001</v>
      </c>
      <c r="Q15" s="11">
        <v>1.1850000000000001</v>
      </c>
    </row>
    <row r="17" spans="6:22" x14ac:dyDescent="0.25">
      <c r="F17" s="17" t="s">
        <v>16</v>
      </c>
      <c r="G17" s="23">
        <f>$C$11-(G13^2)/(2*$C$8)</f>
        <v>286.52292133953767</v>
      </c>
      <c r="H17" s="23">
        <f t="shared" ref="H17:Q17" si="7">$C$11-(H13^2)/(2*$C$8)</f>
        <v>286.15008732921507</v>
      </c>
      <c r="I17" s="23">
        <f t="shared" si="7"/>
        <v>285.66415598808686</v>
      </c>
      <c r="J17" s="23">
        <f t="shared" si="7"/>
        <v>285.0218049601599</v>
      </c>
      <c r="K17" s="23">
        <f t="shared" si="7"/>
        <v>284.15875550914024</v>
      </c>
      <c r="L17" s="23">
        <f t="shared" si="7"/>
        <v>282.97776147166974</v>
      </c>
      <c r="M17" s="23">
        <f t="shared" si="7"/>
        <v>281.32777411227789</v>
      </c>
      <c r="N17" s="23">
        <f t="shared" si="7"/>
        <v>278.96701194976299</v>
      </c>
      <c r="O17" s="23">
        <f t="shared" si="7"/>
        <v>275.49482951182125</v>
      </c>
      <c r="P17" s="23">
        <f t="shared" si="7"/>
        <v>270.22012568088252</v>
      </c>
      <c r="Q17" s="23">
        <f t="shared" si="7"/>
        <v>261.89332898691794</v>
      </c>
    </row>
    <row r="18" spans="6:22" x14ac:dyDescent="0.25">
      <c r="F18" s="4" t="s">
        <v>17</v>
      </c>
      <c r="G18" s="24">
        <f>($C$6*$C$7*G17)^0.5</f>
        <v>339.28406696411446</v>
      </c>
      <c r="H18" s="24">
        <f t="shared" ref="H18:Q18" si="8">($C$6*$C$7*H17)^0.5</f>
        <v>339.06325074454071</v>
      </c>
      <c r="I18" s="24">
        <f t="shared" si="8"/>
        <v>338.77523498788776</v>
      </c>
      <c r="J18" s="24">
        <f t="shared" si="8"/>
        <v>338.39413171365396</v>
      </c>
      <c r="K18" s="24">
        <f t="shared" si="8"/>
        <v>337.88141254048969</v>
      </c>
      <c r="L18" s="24">
        <f t="shared" si="8"/>
        <v>337.17854592347243</v>
      </c>
      <c r="M18" s="24">
        <f t="shared" si="8"/>
        <v>336.19409808854175</v>
      </c>
      <c r="N18" s="24">
        <f t="shared" si="8"/>
        <v>334.78053989822394</v>
      </c>
      <c r="O18" s="24">
        <f t="shared" si="8"/>
        <v>332.69058162282397</v>
      </c>
      <c r="P18" s="24">
        <f t="shared" si="8"/>
        <v>329.49029404468337</v>
      </c>
      <c r="Q18" s="24">
        <f t="shared" si="8"/>
        <v>324.37397147189125</v>
      </c>
    </row>
    <row r="19" spans="6:22" x14ac:dyDescent="0.25">
      <c r="F19" s="17" t="s">
        <v>18</v>
      </c>
      <c r="G19" s="18">
        <f>G13/G18</f>
        <v>0.16902060746990785</v>
      </c>
      <c r="H19" s="18">
        <f t="shared" ref="H19:P19" si="9">H13/H18</f>
        <v>0.18740286342526147</v>
      </c>
      <c r="I19" s="18">
        <f t="shared" si="9"/>
        <v>0.20900920534731973</v>
      </c>
      <c r="J19" s="18">
        <f t="shared" si="9"/>
        <v>0.23463105456933112</v>
      </c>
      <c r="K19" s="18">
        <f t="shared" si="9"/>
        <v>0.26533930870780936</v>
      </c>
      <c r="L19" s="18">
        <f t="shared" si="9"/>
        <v>0.30259874035726037</v>
      </c>
      <c r="M19" s="18">
        <f t="shared" si="9"/>
        <v>0.34846516784559695</v>
      </c>
      <c r="N19" s="18">
        <f t="shared" si="9"/>
        <v>0.40591630094353154</v>
      </c>
      <c r="O19" s="18">
        <f t="shared" si="9"/>
        <v>0.47943900536070821</v>
      </c>
      <c r="P19" s="18">
        <f t="shared" si="9"/>
        <v>0.57614980874331212</v>
      </c>
      <c r="Q19" s="18">
        <f>Q13/Q18</f>
        <v>0.70814936334655942</v>
      </c>
    </row>
    <row r="23" spans="6:22" x14ac:dyDescent="0.25">
      <c r="Q23" s="29" t="s">
        <v>10</v>
      </c>
      <c r="R23" s="29">
        <v>0</v>
      </c>
      <c r="S23" s="29">
        <v>2.5000000000000001E-2</v>
      </c>
      <c r="T23" s="29">
        <v>0.05</v>
      </c>
      <c r="U23" s="29">
        <v>7.4999999999999997E-2</v>
      </c>
      <c r="V23" s="29">
        <v>0.1</v>
      </c>
    </row>
    <row r="24" spans="6:22" x14ac:dyDescent="0.25">
      <c r="Q24" s="28" t="s">
        <v>19</v>
      </c>
      <c r="R24" s="28">
        <v>46.31</v>
      </c>
      <c r="S24" s="28">
        <v>58.19</v>
      </c>
      <c r="T24" s="28">
        <v>80.48</v>
      </c>
      <c r="U24" s="28">
        <v>120.03</v>
      </c>
      <c r="V24" s="28">
        <v>213.26</v>
      </c>
    </row>
    <row r="25" spans="6:22" x14ac:dyDescent="0.25">
      <c r="Q25" s="29" t="s">
        <v>20</v>
      </c>
      <c r="R25" s="29">
        <v>133165</v>
      </c>
      <c r="S25" s="29">
        <v>132230</v>
      </c>
      <c r="T25" s="29">
        <v>129765</v>
      </c>
      <c r="U25" s="29">
        <v>123565</v>
      </c>
      <c r="V25" s="29">
        <v>101336</v>
      </c>
    </row>
    <row r="26" spans="6:22" x14ac:dyDescent="0.25">
      <c r="Q26" s="28" t="s">
        <v>21</v>
      </c>
      <c r="R26" s="28">
        <v>1.387</v>
      </c>
      <c r="S26" s="28"/>
      <c r="T26" s="28"/>
      <c r="U26" s="28"/>
      <c r="V26" s="28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Расчет">
                <anchor moveWithCells="1">
                  <from>
                    <xdr:col>0</xdr:col>
                    <xdr:colOff>466725</xdr:colOff>
                    <xdr:row>15</xdr:row>
                    <xdr:rowOff>47625</xdr:rowOff>
                  </from>
                  <to>
                    <xdr:col>3</xdr:col>
                    <xdr:colOff>161925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Обнуление">
                <anchor moveWithCells="1">
                  <from>
                    <xdr:col>0</xdr:col>
                    <xdr:colOff>457200</xdr:colOff>
                    <xdr:row>18</xdr:row>
                    <xdr:rowOff>142875</xdr:rowOff>
                  </from>
                  <to>
                    <xdr:col>3</xdr:col>
                    <xdr:colOff>123825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V32"/>
  <sheetViews>
    <sheetView tabSelected="1" topLeftCell="B1" zoomScale="90" zoomScaleNormal="90" workbookViewId="0">
      <selection activeCell="S81" sqref="S81"/>
    </sheetView>
  </sheetViews>
  <sheetFormatPr defaultRowHeight="15" x14ac:dyDescent="0.25"/>
  <cols>
    <col min="7" max="7" width="9.5703125" bestFit="1" customWidth="1"/>
  </cols>
  <sheetData>
    <row r="2" spans="2:17" x14ac:dyDescent="0.25">
      <c r="F2" s="22" t="s">
        <v>9</v>
      </c>
      <c r="G2" s="25">
        <v>1</v>
      </c>
      <c r="H2" s="25">
        <v>2</v>
      </c>
      <c r="I2" s="25">
        <v>3</v>
      </c>
      <c r="J2" s="25">
        <v>4</v>
      </c>
      <c r="K2" s="25">
        <v>5</v>
      </c>
      <c r="L2" s="25">
        <v>6</v>
      </c>
      <c r="M2" s="25">
        <v>7</v>
      </c>
      <c r="N2" s="25">
        <v>8</v>
      </c>
      <c r="O2" s="25">
        <v>9</v>
      </c>
      <c r="P2" s="25">
        <v>10</v>
      </c>
      <c r="Q2" s="25">
        <v>11</v>
      </c>
    </row>
    <row r="3" spans="2:17" x14ac:dyDescent="0.25">
      <c r="B3" s="1" t="s">
        <v>0</v>
      </c>
      <c r="C3" s="1">
        <v>0.1</v>
      </c>
      <c r="F3" s="7" t="s">
        <v>10</v>
      </c>
      <c r="G3" s="5">
        <v>0</v>
      </c>
      <c r="H3" s="5">
        <f>G3+$C$4</f>
        <v>0.01</v>
      </c>
      <c r="I3" s="5">
        <f t="shared" ref="I3:Q3" si="0">H3+$C$4</f>
        <v>0.02</v>
      </c>
      <c r="J3" s="5">
        <f t="shared" si="0"/>
        <v>0.03</v>
      </c>
      <c r="K3" s="5">
        <f t="shared" si="0"/>
        <v>0.04</v>
      </c>
      <c r="L3" s="5">
        <f t="shared" si="0"/>
        <v>0.05</v>
      </c>
      <c r="M3" s="5">
        <f t="shared" si="0"/>
        <v>6.0000000000000005E-2</v>
      </c>
      <c r="N3" s="5">
        <f t="shared" si="0"/>
        <v>7.0000000000000007E-2</v>
      </c>
      <c r="O3" s="5">
        <f t="shared" si="0"/>
        <v>0.08</v>
      </c>
      <c r="P3" s="5">
        <f t="shared" si="0"/>
        <v>0.09</v>
      </c>
      <c r="Q3" s="5">
        <f t="shared" si="0"/>
        <v>9.9999999999999992E-2</v>
      </c>
    </row>
    <row r="4" spans="2:17" x14ac:dyDescent="0.25">
      <c r="B4" s="1" t="s">
        <v>1</v>
      </c>
      <c r="C4" s="1">
        <f>C3/10</f>
        <v>0.01</v>
      </c>
      <c r="F4" s="22" t="s">
        <v>3</v>
      </c>
      <c r="G4" s="26">
        <v>0.08</v>
      </c>
      <c r="H4" s="26">
        <f>G4+($Q$4-$G$4)/10</f>
        <v>7.5999999999999998E-2</v>
      </c>
      <c r="I4" s="26">
        <f t="shared" ref="I4:P4" si="1">H4+($Q$4-$G$4)/10</f>
        <v>7.1999999999999995E-2</v>
      </c>
      <c r="J4" s="26">
        <f t="shared" si="1"/>
        <v>6.7999999999999991E-2</v>
      </c>
      <c r="K4" s="26">
        <f t="shared" si="1"/>
        <v>6.3999999999999987E-2</v>
      </c>
      <c r="L4" s="26">
        <f t="shared" si="1"/>
        <v>5.9999999999999984E-2</v>
      </c>
      <c r="M4" s="26">
        <f t="shared" si="1"/>
        <v>5.599999999999998E-2</v>
      </c>
      <c r="N4" s="26">
        <f t="shared" si="1"/>
        <v>5.1999999999999977E-2</v>
      </c>
      <c r="O4" s="26">
        <f t="shared" si="1"/>
        <v>4.7999999999999973E-2</v>
      </c>
      <c r="P4" s="26">
        <f t="shared" si="1"/>
        <v>4.399999999999997E-2</v>
      </c>
      <c r="Q4" s="26">
        <v>0.04</v>
      </c>
    </row>
    <row r="5" spans="2:17" x14ac:dyDescent="0.25">
      <c r="F5" s="7" t="s">
        <v>11</v>
      </c>
      <c r="G5" s="5">
        <f>PI()*G4^2</f>
        <v>2.0106192982974676E-2</v>
      </c>
      <c r="H5" s="5">
        <f t="shared" ref="H5:Q5" si="2">PI()*H4^2</f>
        <v>1.8145839167134643E-2</v>
      </c>
      <c r="I5" s="5">
        <f t="shared" si="2"/>
        <v>1.6286016316209486E-2</v>
      </c>
      <c r="J5" s="5">
        <f t="shared" si="2"/>
        <v>1.4526724430199199E-2</v>
      </c>
      <c r="K5" s="5">
        <f t="shared" si="2"/>
        <v>1.2867963509103787E-2</v>
      </c>
      <c r="L5" s="5">
        <f t="shared" si="2"/>
        <v>1.1309733552923249E-2</v>
      </c>
      <c r="M5" s="5">
        <f t="shared" si="2"/>
        <v>9.8520345616575841E-3</v>
      </c>
      <c r="N5" s="5">
        <f t="shared" si="2"/>
        <v>8.4948665353067939E-3</v>
      </c>
      <c r="O5" s="5">
        <f t="shared" si="2"/>
        <v>7.2382294738708754E-3</v>
      </c>
      <c r="P5" s="5">
        <f t="shared" si="2"/>
        <v>6.0821233773498311E-3</v>
      </c>
      <c r="Q5" s="5">
        <f t="shared" si="2"/>
        <v>5.0265482457436689E-3</v>
      </c>
    </row>
    <row r="6" spans="2:17" x14ac:dyDescent="0.25">
      <c r="B6" s="2" t="s">
        <v>2</v>
      </c>
      <c r="C6" s="2">
        <v>1.4</v>
      </c>
      <c r="F6" s="22" t="s">
        <v>12</v>
      </c>
      <c r="G6" s="27">
        <v>41.95278447630713</v>
      </c>
      <c r="H6" s="27">
        <v>46.573082256035249</v>
      </c>
      <c r="I6" s="27">
        <v>51.999185042947929</v>
      </c>
      <c r="J6" s="27">
        <v>58.481602271150301</v>
      </c>
      <c r="K6" s="27">
        <v>66.327094640505265</v>
      </c>
      <c r="L6" s="27">
        <v>75.973670816402276</v>
      </c>
      <c r="M6" s="27">
        <v>88.075684219293038</v>
      </c>
      <c r="N6" s="27">
        <v>103.67558600772699</v>
      </c>
      <c r="O6" s="27">
        <v>124.60672181010374</v>
      </c>
      <c r="P6" s="27">
        <v>154.70176967133884</v>
      </c>
      <c r="Q6" s="27">
        <v>205.86731387529116</v>
      </c>
    </row>
    <row r="7" spans="2:17" x14ac:dyDescent="0.25">
      <c r="B7" s="2" t="s">
        <v>3</v>
      </c>
      <c r="C7" s="2">
        <v>286.97199999999998</v>
      </c>
      <c r="F7" s="7" t="s">
        <v>7</v>
      </c>
      <c r="G7" s="6">
        <v>133574.18444342678</v>
      </c>
      <c r="H7" s="6">
        <v>133226.26050437707</v>
      </c>
      <c r="I7" s="6">
        <v>132771.14817607414</v>
      </c>
      <c r="J7" s="6">
        <v>132161.66969955643</v>
      </c>
      <c r="K7" s="6">
        <v>131328.90315320916</v>
      </c>
      <c r="L7" s="6">
        <v>130163.64109060574</v>
      </c>
      <c r="M7" s="6">
        <v>128484.94958704351</v>
      </c>
      <c r="N7" s="6">
        <v>125974.43646060237</v>
      </c>
      <c r="O7" s="6">
        <v>122019.78165594733</v>
      </c>
      <c r="P7" s="6">
        <v>115251.11226295443</v>
      </c>
      <c r="Q7" s="6">
        <v>101325</v>
      </c>
    </row>
    <row r="8" spans="2:17" x14ac:dyDescent="0.25">
      <c r="B8" s="2" t="s">
        <v>4</v>
      </c>
      <c r="C8" s="2">
        <v>1004.4</v>
      </c>
      <c r="F8" s="31" t="s">
        <v>13</v>
      </c>
      <c r="G8" s="26">
        <v>1.6202118865363557</v>
      </c>
      <c r="H8" s="26">
        <v>1.617137825378884</v>
      </c>
      <c r="I8" s="26">
        <v>1.6131096647779763</v>
      </c>
      <c r="J8" s="26">
        <v>1.6077032227073558</v>
      </c>
      <c r="K8" s="26">
        <v>1.6002960229227963</v>
      </c>
      <c r="L8" s="26">
        <v>1.5898960299976053</v>
      </c>
      <c r="M8" s="26">
        <v>1.5748472195044312</v>
      </c>
      <c r="N8" s="26">
        <v>1.5522058671525572</v>
      </c>
      <c r="O8" s="26">
        <v>1.516230856075476</v>
      </c>
      <c r="P8" s="26">
        <v>1.4538159917292912</v>
      </c>
      <c r="Q8" s="26">
        <v>1.3221013196612763</v>
      </c>
    </row>
    <row r="10" spans="2:17" x14ac:dyDescent="0.25">
      <c r="B10" s="3" t="s">
        <v>5</v>
      </c>
      <c r="C10" s="3">
        <v>135000</v>
      </c>
      <c r="F10" s="8" t="s">
        <v>14</v>
      </c>
      <c r="G10" s="9">
        <f>G5*G13*G8</f>
        <v>1.36665556372296</v>
      </c>
      <c r="H10" s="9">
        <f t="shared" ref="H10:Q10" si="3">H5*H13*H8</f>
        <v>1.366645001504567</v>
      </c>
      <c r="I10" s="9">
        <f t="shared" si="3"/>
        <v>1.3660724686291463</v>
      </c>
      <c r="J10" s="9">
        <f t="shared" si="3"/>
        <v>1.3658173816831618</v>
      </c>
      <c r="K10" s="9">
        <f t="shared" si="3"/>
        <v>1.3658462561209002</v>
      </c>
      <c r="L10" s="9">
        <f t="shared" si="3"/>
        <v>1.3661091124700597</v>
      </c>
      <c r="M10" s="9">
        <f t="shared" si="3"/>
        <v>1.3665378735682552</v>
      </c>
      <c r="N10" s="9">
        <f t="shared" si="3"/>
        <v>1.3670471502854711</v>
      </c>
      <c r="O10" s="9">
        <f t="shared" si="3"/>
        <v>1.367539574945291</v>
      </c>
      <c r="P10" s="9">
        <f t="shared" si="3"/>
        <v>1.3679187217099926</v>
      </c>
      <c r="Q10" s="9">
        <f t="shared" si="3"/>
        <v>1.3681131321489266</v>
      </c>
    </row>
    <row r="11" spans="2:17" x14ac:dyDescent="0.25">
      <c r="B11" s="3" t="s">
        <v>6</v>
      </c>
      <c r="C11" s="3">
        <v>288.16000000000003</v>
      </c>
      <c r="F11" s="14" t="s">
        <v>15</v>
      </c>
      <c r="G11" s="15">
        <f>(G13)*(G10-H10)</f>
        <v>4.4311102531934638E-4</v>
      </c>
      <c r="H11" s="16">
        <f>(H13)*(H10-I10)</f>
        <v>2.6664414623324143E-2</v>
      </c>
      <c r="I11" s="16">
        <f t="shared" ref="I11:P11" si="4">(I13)*(I10-J10)</f>
        <v>1.3264265745940881E-2</v>
      </c>
      <c r="J11" s="16">
        <f t="shared" si="4"/>
        <v>-1.688622575084793E-3</v>
      </c>
      <c r="K11" s="16">
        <f t="shared" si="4"/>
        <v>-1.7434525883558906E-2</v>
      </c>
      <c r="L11" s="16">
        <f t="shared" si="4"/>
        <v>-3.2574642979535801E-2</v>
      </c>
      <c r="M11" s="16">
        <f t="shared" si="4"/>
        <v>-4.4855028792352411E-2</v>
      </c>
      <c r="N11" s="16">
        <f t="shared" si="4"/>
        <v>-5.1052546177257463E-2</v>
      </c>
      <c r="O11" s="16">
        <f t="shared" si="4"/>
        <v>-4.7244317519203577E-2</v>
      </c>
      <c r="P11" s="16">
        <f t="shared" si="4"/>
        <v>-3.0075662792980393E-2</v>
      </c>
      <c r="Q11" s="16">
        <v>0</v>
      </c>
    </row>
    <row r="12" spans="2:17" x14ac:dyDescent="0.25">
      <c r="B12" s="3" t="s">
        <v>7</v>
      </c>
      <c r="C12" s="3">
        <v>101325</v>
      </c>
    </row>
    <row r="13" spans="2:17" x14ac:dyDescent="0.25">
      <c r="F13" s="10" t="s">
        <v>12</v>
      </c>
      <c r="G13" s="12">
        <f>(H5*H6*H8)/(G5*G8)</f>
        <v>41.952458170366363</v>
      </c>
      <c r="H13" s="20">
        <f>((G7-H7)/H8+G6*H6)^0.5</f>
        <v>46.572722315257856</v>
      </c>
      <c r="I13" s="20">
        <f t="shared" ref="I13:Q13" si="5">((H7-I7)/I8+H6*I6)^0.5</f>
        <v>51.998998595347125</v>
      </c>
      <c r="J13" s="20">
        <f t="shared" si="5"/>
        <v>58.481574269464602</v>
      </c>
      <c r="K13" s="20">
        <f t="shared" si="5"/>
        <v>66.327200919066243</v>
      </c>
      <c r="L13" s="20">
        <f t="shared" si="5"/>
        <v>75.973877099938278</v>
      </c>
      <c r="M13" s="20">
        <f t="shared" si="5"/>
        <v>88.075946290190899</v>
      </c>
      <c r="N13" s="20">
        <f t="shared" si="5"/>
        <v>103.67585204999322</v>
      </c>
      <c r="O13" s="20">
        <f t="shared" si="5"/>
        <v>124.6069383089218</v>
      </c>
      <c r="P13" s="20">
        <f t="shared" si="5"/>
        <v>154.70189233611086</v>
      </c>
      <c r="Q13" s="20">
        <f t="shared" si="5"/>
        <v>205.86732315098098</v>
      </c>
    </row>
    <row r="14" spans="2:17" x14ac:dyDescent="0.25">
      <c r="B14" s="4" t="s">
        <v>8</v>
      </c>
      <c r="C14" s="4">
        <v>2000</v>
      </c>
      <c r="D14">
        <v>2000</v>
      </c>
      <c r="F14" s="13" t="s">
        <v>7</v>
      </c>
      <c r="G14" s="21">
        <f>C10-(G8*G13^2)/2</f>
        <v>133574.20645422692</v>
      </c>
      <c r="H14" s="21">
        <f>H7+H11</f>
        <v>133226.28716879169</v>
      </c>
      <c r="I14" s="21">
        <f t="shared" ref="I14:Q14" si="6">I7+I11</f>
        <v>132771.1614403399</v>
      </c>
      <c r="J14" s="21">
        <f t="shared" si="6"/>
        <v>132161.66801093385</v>
      </c>
      <c r="K14" s="21">
        <f t="shared" si="6"/>
        <v>131328.88571868328</v>
      </c>
      <c r="L14" s="21">
        <f t="shared" si="6"/>
        <v>130163.60851596277</v>
      </c>
      <c r="M14" s="21">
        <f t="shared" si="6"/>
        <v>128484.90473201471</v>
      </c>
      <c r="N14" s="21">
        <f t="shared" si="6"/>
        <v>125974.3854080562</v>
      </c>
      <c r="O14" s="21">
        <f t="shared" si="6"/>
        <v>122019.7344116298</v>
      </c>
      <c r="P14" s="21">
        <f t="shared" si="6"/>
        <v>115251.08218729163</v>
      </c>
      <c r="Q14" s="21">
        <f>C12</f>
        <v>101325</v>
      </c>
    </row>
    <row r="15" spans="2:17" x14ac:dyDescent="0.25">
      <c r="F15" s="30" t="s">
        <v>13</v>
      </c>
      <c r="G15" s="11">
        <f>G14/($C$7*G17)</f>
        <v>1.6202120766536134</v>
      </c>
      <c r="H15" s="11">
        <f t="shared" ref="H15:Q15" si="7">H14/($C$7*H17)</f>
        <v>1.617138055023114</v>
      </c>
      <c r="I15" s="11">
        <f t="shared" si="7"/>
        <v>1.6131097716441272</v>
      </c>
      <c r="J15" s="11">
        <f t="shared" si="7"/>
        <v>1.6077031930153689</v>
      </c>
      <c r="K15" s="11">
        <f t="shared" si="7"/>
        <v>1.6002958497504662</v>
      </c>
      <c r="L15" s="11">
        <f t="shared" si="7"/>
        <v>1.5898957190694107</v>
      </c>
      <c r="M15" s="11">
        <f t="shared" si="7"/>
        <v>1.5748467970151123</v>
      </c>
      <c r="N15" s="11">
        <f t="shared" si="7"/>
        <v>1.5522053888257905</v>
      </c>
      <c r="O15" s="11">
        <f t="shared" si="7"/>
        <v>1.5162304142338905</v>
      </c>
      <c r="P15" s="11">
        <f t="shared" si="7"/>
        <v>1.4538157117758432</v>
      </c>
      <c r="Q15" s="11">
        <f t="shared" si="7"/>
        <v>1.3221013290732198</v>
      </c>
    </row>
    <row r="17" spans="6:22" x14ac:dyDescent="0.25">
      <c r="F17" s="17" t="s">
        <v>16</v>
      </c>
      <c r="G17" s="23">
        <f>$C$11-(G13^2)/(2*$C$8)</f>
        <v>287.28385068372347</v>
      </c>
      <c r="H17" s="23">
        <f t="shared" ref="H17:Q17" si="8">$C$11-(H13^2)/(2*$C$8)</f>
        <v>287.08024170457287</v>
      </c>
      <c r="I17" s="23">
        <f t="shared" si="8"/>
        <v>286.81397458436936</v>
      </c>
      <c r="J17" s="23">
        <f t="shared" si="8"/>
        <v>286.45744398196194</v>
      </c>
      <c r="K17" s="23">
        <f t="shared" si="8"/>
        <v>285.96998726515426</v>
      </c>
      <c r="L17" s="23">
        <f t="shared" si="8"/>
        <v>285.28662783672019</v>
      </c>
      <c r="M17" s="23">
        <f t="shared" si="8"/>
        <v>284.29830529922714</v>
      </c>
      <c r="N17" s="23">
        <f t="shared" si="8"/>
        <v>282.80920236046791</v>
      </c>
      <c r="O17" s="23">
        <f t="shared" si="8"/>
        <v>280.43056497674064</v>
      </c>
      <c r="P17" s="23">
        <f t="shared" si="8"/>
        <v>276.24608348647274</v>
      </c>
      <c r="Q17" s="23">
        <f t="shared" si="8"/>
        <v>267.06215315544085</v>
      </c>
    </row>
    <row r="18" spans="6:22" x14ac:dyDescent="0.25">
      <c r="F18" s="4" t="s">
        <v>17</v>
      </c>
      <c r="G18" s="24">
        <f>($C$6*$C$7*G17)^0.5</f>
        <v>339.73429276093583</v>
      </c>
      <c r="H18" s="24">
        <f t="shared" ref="H18:Q18" si="9">($C$6*$C$7*H17)^0.5</f>
        <v>339.61388012185625</v>
      </c>
      <c r="I18" s="24">
        <f t="shared" si="9"/>
        <v>339.45634753263329</v>
      </c>
      <c r="J18" s="24">
        <f t="shared" si="9"/>
        <v>339.24529747683783</v>
      </c>
      <c r="K18" s="24">
        <f t="shared" si="9"/>
        <v>338.95653240443409</v>
      </c>
      <c r="L18" s="24">
        <f t="shared" si="9"/>
        <v>338.55130162057117</v>
      </c>
      <c r="M18" s="24">
        <f t="shared" si="9"/>
        <v>337.96436879597491</v>
      </c>
      <c r="N18" s="24">
        <f t="shared" si="9"/>
        <v>337.07810873401945</v>
      </c>
      <c r="O18" s="24">
        <f t="shared" si="9"/>
        <v>335.65757570701021</v>
      </c>
      <c r="P18" s="24">
        <f t="shared" si="9"/>
        <v>333.14388407772407</v>
      </c>
      <c r="Q18" s="24">
        <f t="shared" si="9"/>
        <v>327.55931417294858</v>
      </c>
    </row>
    <row r="19" spans="6:22" x14ac:dyDescent="0.25">
      <c r="F19" s="17" t="s">
        <v>18</v>
      </c>
      <c r="G19" s="23">
        <f>G13/G18</f>
        <v>0.12348608622764927</v>
      </c>
      <c r="H19" s="23">
        <f t="shared" ref="H19:P19" si="10">H13/H18</f>
        <v>0.13713433119561302</v>
      </c>
      <c r="I19" s="23">
        <f t="shared" si="10"/>
        <v>0.15318316765412157</v>
      </c>
      <c r="J19" s="23">
        <f t="shared" si="10"/>
        <v>0.17238728054427185</v>
      </c>
      <c r="K19" s="23">
        <f t="shared" si="10"/>
        <v>0.19568055068467116</v>
      </c>
      <c r="L19" s="23">
        <f t="shared" si="10"/>
        <v>0.22440875795268816</v>
      </c>
      <c r="M19" s="23">
        <f t="shared" si="10"/>
        <v>0.26060719537970378</v>
      </c>
      <c r="N19" s="23">
        <f t="shared" si="10"/>
        <v>0.30757218983865087</v>
      </c>
      <c r="O19" s="23">
        <f t="shared" si="10"/>
        <v>0.37123231330756279</v>
      </c>
      <c r="P19" s="23">
        <f t="shared" si="10"/>
        <v>0.46436960043372177</v>
      </c>
      <c r="Q19" s="23">
        <f>Q13/Q18</f>
        <v>0.62848868660863288</v>
      </c>
    </row>
    <row r="20" spans="6:22" x14ac:dyDescent="0.25">
      <c r="F20" s="4" t="s">
        <v>22</v>
      </c>
      <c r="G20" s="24">
        <f>1-(($C$6-1)/($C$6+1))*(G21^2)</f>
        <v>0.99704049517581972</v>
      </c>
      <c r="H20" s="24">
        <f t="shared" ref="H20:Q20" si="11">1-(($C$6-1)/($C$6+1))*(H21^2)</f>
        <v>0.99637517084547178</v>
      </c>
      <c r="I20" s="24">
        <f t="shared" si="11"/>
        <v>0.99551735471548919</v>
      </c>
      <c r="J20" s="24">
        <f t="shared" si="11"/>
        <v>0.99438995662132712</v>
      </c>
      <c r="K20" s="24">
        <f t="shared" si="11"/>
        <v>0.99288658242463967</v>
      </c>
      <c r="L20" s="24">
        <f t="shared" si="11"/>
        <v>0.99084974279497129</v>
      </c>
      <c r="M20" s="24">
        <f t="shared" si="11"/>
        <v>0.98804117209322506</v>
      </c>
      <c r="N20" s="24">
        <f t="shared" si="11"/>
        <v>0.98409005243267611</v>
      </c>
      <c r="O20" s="24">
        <f t="shared" si="11"/>
        <v>0.97839283027517676</v>
      </c>
      <c r="P20" s="24">
        <f t="shared" si="11"/>
        <v>0.96986761650799713</v>
      </c>
      <c r="Q20" s="24">
        <f t="shared" si="11"/>
        <v>0.95586604480567372</v>
      </c>
    </row>
    <row r="21" spans="6:22" x14ac:dyDescent="0.25">
      <c r="F21" s="17" t="s">
        <v>23</v>
      </c>
      <c r="G21" s="23">
        <f>SQRT(((($C$6+1)/2)*(G19^2))/(1+2*G19^2))</f>
        <v>0.13325550249457627</v>
      </c>
      <c r="H21" s="23">
        <f t="shared" ref="H21:Q21" si="12">SQRT(((($C$6+1)/2)*(H19^2))/(1+2*H19^2))</f>
        <v>0.14747533667420271</v>
      </c>
      <c r="I21" s="23">
        <f t="shared" si="12"/>
        <v>0.16399960886253706</v>
      </c>
      <c r="J21" s="23">
        <f t="shared" si="12"/>
        <v>0.18346732753282577</v>
      </c>
      <c r="K21" s="23">
        <f t="shared" si="12"/>
        <v>0.20659260744799587</v>
      </c>
      <c r="L21" s="23">
        <f t="shared" si="12"/>
        <v>0.2343107834269946</v>
      </c>
      <c r="M21" s="23">
        <f t="shared" si="12"/>
        <v>0.26786744378638078</v>
      </c>
      <c r="N21" s="23">
        <f t="shared" si="12"/>
        <v>0.30896550843733911</v>
      </c>
      <c r="O21" s="23">
        <f t="shared" si="12"/>
        <v>0.36005974274964364</v>
      </c>
      <c r="P21" s="23">
        <f t="shared" si="12"/>
        <v>0.42519913093986589</v>
      </c>
      <c r="Q21" s="23">
        <f t="shared" si="12"/>
        <v>0.51459083859505106</v>
      </c>
    </row>
    <row r="22" spans="6:22" x14ac:dyDescent="0.25">
      <c r="F22" s="4" t="s">
        <v>24</v>
      </c>
      <c r="G22" s="24">
        <f>G20^($C$6/$C$6-1)</f>
        <v>1</v>
      </c>
      <c r="H22" s="24">
        <f t="shared" ref="H22:Q22" si="13">H20^($C$6/$C$6-1)</f>
        <v>1</v>
      </c>
      <c r="I22" s="24">
        <f t="shared" si="13"/>
        <v>1</v>
      </c>
      <c r="J22" s="24">
        <f t="shared" si="13"/>
        <v>1</v>
      </c>
      <c r="K22" s="24">
        <f t="shared" si="13"/>
        <v>1</v>
      </c>
      <c r="L22" s="24">
        <f t="shared" si="13"/>
        <v>1</v>
      </c>
      <c r="M22" s="24">
        <f t="shared" si="13"/>
        <v>1</v>
      </c>
      <c r="N22" s="24">
        <f t="shared" si="13"/>
        <v>1</v>
      </c>
      <c r="O22" s="24">
        <f t="shared" si="13"/>
        <v>1</v>
      </c>
      <c r="P22" s="24">
        <f t="shared" si="13"/>
        <v>1</v>
      </c>
      <c r="Q22" s="24">
        <f t="shared" si="13"/>
        <v>1</v>
      </c>
    </row>
    <row r="23" spans="6:22" x14ac:dyDescent="0.25">
      <c r="F23" s="17" t="s">
        <v>5</v>
      </c>
      <c r="G23" s="19">
        <f>G7/G22</f>
        <v>133574.18444342678</v>
      </c>
      <c r="H23" s="19">
        <f t="shared" ref="H23:Q23" si="14">H7/H22</f>
        <v>133226.26050437707</v>
      </c>
      <c r="I23" s="19">
        <f t="shared" si="14"/>
        <v>132771.14817607414</v>
      </c>
      <c r="J23" s="19">
        <f t="shared" si="14"/>
        <v>132161.66969955643</v>
      </c>
      <c r="K23" s="19">
        <f t="shared" si="14"/>
        <v>131328.90315320916</v>
      </c>
      <c r="L23" s="19">
        <f t="shared" si="14"/>
        <v>130163.64109060574</v>
      </c>
      <c r="M23" s="19">
        <f t="shared" si="14"/>
        <v>128484.94958704351</v>
      </c>
      <c r="N23" s="19">
        <f t="shared" si="14"/>
        <v>125974.43646060237</v>
      </c>
      <c r="O23" s="19">
        <f t="shared" si="14"/>
        <v>122019.78165594733</v>
      </c>
      <c r="P23" s="19">
        <f t="shared" si="14"/>
        <v>115251.11226295443</v>
      </c>
      <c r="Q23" s="19">
        <f t="shared" si="14"/>
        <v>101325</v>
      </c>
    </row>
    <row r="29" spans="6:22" x14ac:dyDescent="0.25">
      <c r="Q29" s="29" t="s">
        <v>10</v>
      </c>
      <c r="R29" s="29">
        <v>0</v>
      </c>
      <c r="S29" s="29">
        <v>2.5000000000000001E-2</v>
      </c>
      <c r="T29" s="29">
        <v>0.05</v>
      </c>
      <c r="U29" s="29">
        <v>7.4999999999999997E-2</v>
      </c>
      <c r="V29" s="29">
        <v>0.1</v>
      </c>
    </row>
    <row r="30" spans="6:22" x14ac:dyDescent="0.25">
      <c r="Q30" s="28" t="s">
        <v>19</v>
      </c>
      <c r="R30" s="28">
        <v>46.31</v>
      </c>
      <c r="S30" s="28">
        <v>58.19</v>
      </c>
      <c r="T30" s="28">
        <v>80.48</v>
      </c>
      <c r="U30" s="28">
        <v>120.03</v>
      </c>
      <c r="V30" s="28">
        <v>213.26</v>
      </c>
    </row>
    <row r="31" spans="6:22" x14ac:dyDescent="0.25">
      <c r="Q31" s="29" t="s">
        <v>20</v>
      </c>
      <c r="R31" s="29">
        <v>133165</v>
      </c>
      <c r="S31" s="29">
        <v>132230</v>
      </c>
      <c r="T31" s="29">
        <v>129765</v>
      </c>
      <c r="U31" s="29">
        <v>123565</v>
      </c>
      <c r="V31" s="29">
        <v>101336</v>
      </c>
    </row>
    <row r="32" spans="6:22" x14ac:dyDescent="0.25">
      <c r="Q32" s="28" t="s">
        <v>21</v>
      </c>
      <c r="R32" s="28">
        <v>1.387</v>
      </c>
      <c r="S32" s="28"/>
      <c r="T32" s="28"/>
      <c r="U32" s="28"/>
      <c r="V32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Расчет">
                <anchor moveWithCells="1">
                  <from>
                    <xdr:col>0</xdr:col>
                    <xdr:colOff>466725</xdr:colOff>
                    <xdr:row>15</xdr:row>
                    <xdr:rowOff>47625</xdr:rowOff>
                  </from>
                  <to>
                    <xdr:col>3</xdr:col>
                    <xdr:colOff>219075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Обнуление">
                <anchor moveWithCells="1">
                  <from>
                    <xdr:col>0</xdr:col>
                    <xdr:colOff>457200</xdr:colOff>
                    <xdr:row>18</xdr:row>
                    <xdr:rowOff>142875</xdr:rowOff>
                  </from>
                  <to>
                    <xdr:col>3</xdr:col>
                    <xdr:colOff>180975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ρ=const</vt:lpstr>
      <vt:lpstr>ρ=var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Леонид</dc:creator>
  <cp:lastModifiedBy>Леонид</cp:lastModifiedBy>
  <dcterms:created xsi:type="dcterms:W3CDTF">2021-05-24T12:54:23Z</dcterms:created>
  <dcterms:modified xsi:type="dcterms:W3CDTF">2021-05-24T16:46:13Z</dcterms:modified>
</cp:coreProperties>
</file>